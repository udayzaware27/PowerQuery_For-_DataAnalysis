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71F8DC6E-B8BC-4495-AB6F-ED3C9A1D22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" sheetId="1" r:id="rId1"/>
    <sheet name="RESULT" sheetId="5" r:id="rId2"/>
    <sheet name="donot delete" sheetId="3" state="hidden" r:id="rId3"/>
    <sheet name="Sheet2" sheetId="2" state="hidden" r:id="rId4"/>
  </sheets>
  <definedNames>
    <definedName name="ExternalData_1" localSheetId="1" hidden="1">'RESULT'!$C$3:$D$31</definedName>
    <definedName name="_xlnm.Print_Area" localSheetId="0">REPORT!$B$4:$BL$12</definedName>
  </definedNames>
  <calcPr calcId="191028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M13" i="1" l="1"/>
  <c r="BK13" i="1"/>
  <c r="BI13" i="1"/>
  <c r="BG13" i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G13" i="1"/>
  <c r="AE13" i="1"/>
  <c r="AC13" i="1"/>
  <c r="AA13" i="1"/>
  <c r="Q13" i="1"/>
  <c r="S13" i="1"/>
  <c r="U13" i="1"/>
  <c r="W13" i="1"/>
  <c r="Y13" i="1"/>
  <c r="E17" i="1"/>
  <c r="G13" i="1"/>
  <c r="I13" i="1"/>
  <c r="K13" i="1"/>
  <c r="M13" i="1"/>
  <c r="O13" i="1"/>
  <c r="E13" i="1"/>
  <c r="E16" i="1"/>
  <c r="H1" i="1"/>
  <c r="R1" i="1"/>
  <c r="D4" i="1"/>
  <c r="F4" i="1"/>
  <c r="H4" i="1"/>
  <c r="J4" i="1"/>
  <c r="L4" i="1"/>
  <c r="N4" i="1"/>
  <c r="P4" i="1"/>
  <c r="R4" i="1"/>
  <c r="T4" i="1"/>
  <c r="V4" i="1"/>
  <c r="X4" i="1"/>
  <c r="Z4" i="1"/>
  <c r="AB4" i="1"/>
  <c r="AD4" i="1"/>
  <c r="AF4" i="1"/>
  <c r="AH4" i="1"/>
  <c r="AJ4" i="1"/>
  <c r="AL4" i="1"/>
  <c r="AN4" i="1"/>
  <c r="AP4" i="1"/>
  <c r="AR4" i="1"/>
  <c r="AT4" i="1"/>
  <c r="AV4" i="1"/>
  <c r="AX4" i="1"/>
  <c r="AZ4" i="1"/>
  <c r="BB4" i="1"/>
  <c r="BD4" i="1"/>
  <c r="BF4" i="1"/>
  <c r="BH4" i="1"/>
  <c r="BJ4" i="1"/>
  <c r="BL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858BF-5C62-454E-9B38-40F037AFBD9B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<sst xmlns="http://schemas.openxmlformats.org/spreadsheetml/2006/main" count="212" uniqueCount="110">
  <si>
    <t>District</t>
  </si>
  <si>
    <t>Name of Scheme</t>
  </si>
  <si>
    <t>Dhar</t>
  </si>
  <si>
    <t>Baag</t>
  </si>
  <si>
    <t>Ujjain</t>
  </si>
  <si>
    <t>Nagda</t>
  </si>
  <si>
    <t>Ratlam</t>
  </si>
  <si>
    <t>Gunawad</t>
  </si>
  <si>
    <t>Grand Total</t>
  </si>
  <si>
    <t>S. 
No.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</si>
  <si>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</si>
  <si>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</si>
  <si>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</si>
  <si>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</si>
  <si>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</si>
  <si>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</si>
  <si>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</si>
  <si>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</si>
  <si>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</si>
  <si>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</si>
  <si>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</si>
  <si>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</si>
  <si>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FIRST DATE</t>
  </si>
  <si>
    <t>LAST DATE</t>
  </si>
  <si>
    <t>MONTH</t>
  </si>
  <si>
    <t>S.NO.</t>
  </si>
  <si>
    <t>Village</t>
  </si>
  <si>
    <t>No.</t>
  </si>
  <si>
    <t>Site</t>
  </si>
  <si>
    <t>Tutiyakhedi</t>
  </si>
  <si>
    <t>Chandodiya</t>
  </si>
  <si>
    <t>Kilodiya</t>
  </si>
  <si>
    <t>Diwel</t>
  </si>
  <si>
    <t>Kalsi</t>
  </si>
  <si>
    <t>Jhirmira</t>
  </si>
  <si>
    <t>Total</t>
  </si>
  <si>
    <t>Mokdi</t>
  </si>
  <si>
    <t>AUG TOTAL</t>
  </si>
  <si>
    <t>Tarod</t>
  </si>
  <si>
    <t>Atlawada</t>
  </si>
  <si>
    <t>Banwada</t>
  </si>
  <si>
    <t>Khajuriya</t>
  </si>
  <si>
    <t>Ninawatkheda</t>
  </si>
  <si>
    <t>Bercha</t>
  </si>
  <si>
    <t>Parmarkhedi</t>
  </si>
  <si>
    <t>?</t>
  </si>
  <si>
    <t>1</t>
  </si>
  <si>
    <t>Village2</t>
  </si>
  <si>
    <t>No.3</t>
  </si>
  <si>
    <t>Village4</t>
  </si>
  <si>
    <t>No.5</t>
  </si>
  <si>
    <t>Village6</t>
  </si>
  <si>
    <t>No.7</t>
  </si>
  <si>
    <t>Village8</t>
  </si>
  <si>
    <t>No.9</t>
  </si>
  <si>
    <t>Village10</t>
  </si>
  <si>
    <t>No.11</t>
  </si>
  <si>
    <t>Village12</t>
  </si>
  <si>
    <t>No.13</t>
  </si>
  <si>
    <t>Village14</t>
  </si>
  <si>
    <t>No.15</t>
  </si>
  <si>
    <t>Village16</t>
  </si>
  <si>
    <t>No.17</t>
  </si>
  <si>
    <t>Village18</t>
  </si>
  <si>
    <t>No.19</t>
  </si>
  <si>
    <t>Village20</t>
  </si>
  <si>
    <t>No.21</t>
  </si>
  <si>
    <t>Village22</t>
  </si>
  <si>
    <t>No.23</t>
  </si>
  <si>
    <t>Village24</t>
  </si>
  <si>
    <t>No.25</t>
  </si>
  <si>
    <t>Village26</t>
  </si>
  <si>
    <t>No.27</t>
  </si>
  <si>
    <t>Village28</t>
  </si>
  <si>
    <t>No.29</t>
  </si>
  <si>
    <t>Village30</t>
  </si>
  <si>
    <t>No.31</t>
  </si>
  <si>
    <t>Village32</t>
  </si>
  <si>
    <t>No.33</t>
  </si>
  <si>
    <t>Village34</t>
  </si>
  <si>
    <t>No.35</t>
  </si>
  <si>
    <t>Village36</t>
  </si>
  <si>
    <t>No.37</t>
  </si>
  <si>
    <t>Village38</t>
  </si>
  <si>
    <t>No.39</t>
  </si>
  <si>
    <t>Village40</t>
  </si>
  <si>
    <t>No.41</t>
  </si>
  <si>
    <t>Village42</t>
  </si>
  <si>
    <t>No.43</t>
  </si>
  <si>
    <t>Village44</t>
  </si>
  <si>
    <t>No.45</t>
  </si>
  <si>
    <t>Village46</t>
  </si>
  <si>
    <t>No.47</t>
  </si>
  <si>
    <t>Village48</t>
  </si>
  <si>
    <t>No.49</t>
  </si>
  <si>
    <t>Village50</t>
  </si>
  <si>
    <t>No.51</t>
  </si>
  <si>
    <t>Village52</t>
  </si>
  <si>
    <t>No.53</t>
  </si>
  <si>
    <t>Village54</t>
  </si>
  <si>
    <t>No.55</t>
  </si>
  <si>
    <t>Village56</t>
  </si>
  <si>
    <t>No.57</t>
  </si>
  <si>
    <t>Village58</t>
  </si>
  <si>
    <t>No.59</t>
  </si>
  <si>
    <t>Village60</t>
  </si>
  <si>
    <t>No.61</t>
  </si>
  <si>
    <t>Munar</t>
  </si>
  <si>
    <t>Row Labels</t>
  </si>
  <si>
    <t>Sum of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</si>
</sst>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d\-mmm;@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2.806764351852" createdVersion="8" refreshedVersion="8" minRefreshableVersion="3" recordCount="28" xr:uid="{FB2DFDED-0643-431D-BD54-C7E15F7B5067}">
  <cacheSource type="worksheet">
    <worksheetSource name="RESULT"/>
  </cacheSource>
  <cacheFields count="2">
    <cacheField name="Village" numFmtId="0">
      <sharedItems count="15">
        <s v="Tutiyakhedi"/>
        <s v="Chandodiya"/>
        <s v="Kilodiya"/>
        <s v="Diwel"/>
        <s v="Kalsi"/>
        <s v="Mokdi"/>
        <s v="Tarod"/>
        <s v="Khajuriya"/>
        <s v="Bercha"/>
        <s v="Munar"/>
        <s v="Jhirmira"/>
        <s v="Atlawada"/>
        <s v="Parmarkhedi"/>
        <s v="Ninawatkheda"/>
        <s v="Banwada"/>
      </sharedItems>
    </cacheField>
    <cacheField name="No." numFmtId="0">
      <sharedItems containsSemiMixedTypes="0" containsString="0" containsNumber="1" containsInteg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n v="15"/>
  </r>
  <r>
    <x v="1"/>
    <n v="15"/>
  </r>
  <r>
    <x v="1"/>
    <n v="15"/>
  </r>
  <r>
    <x v="2"/>
    <n v="5"/>
  </r>
  <r>
    <x v="3"/>
    <n v="25"/>
  </r>
  <r>
    <x v="4"/>
    <n v="13"/>
  </r>
  <r>
    <x v="1"/>
    <n v="17"/>
  </r>
  <r>
    <x v="5"/>
    <n v="10"/>
  </r>
  <r>
    <x v="5"/>
    <n v="9"/>
  </r>
  <r>
    <x v="5"/>
    <n v="10"/>
  </r>
  <r>
    <x v="5"/>
    <n v="9"/>
  </r>
  <r>
    <x v="6"/>
    <n v="19"/>
  </r>
  <r>
    <x v="6"/>
    <n v="5"/>
  </r>
  <r>
    <x v="5"/>
    <n v="13"/>
  </r>
  <r>
    <x v="7"/>
    <n v="9"/>
  </r>
  <r>
    <x v="8"/>
    <n v="12"/>
  </r>
  <r>
    <x v="9"/>
    <n v="1"/>
  </r>
  <r>
    <x v="1"/>
    <n v="3"/>
  </r>
  <r>
    <x v="10"/>
    <n v="20"/>
  </r>
  <r>
    <x v="2"/>
    <n v="13"/>
  </r>
  <r>
    <x v="5"/>
    <n v="1"/>
  </r>
  <r>
    <x v="11"/>
    <n v="2"/>
  </r>
  <r>
    <x v="7"/>
    <n v="12"/>
  </r>
  <r>
    <x v="12"/>
    <n v="11"/>
  </r>
  <r>
    <x v="13"/>
    <n v="8"/>
  </r>
  <r>
    <x v="1"/>
    <n v="5"/>
  </r>
  <r>
    <x v="14"/>
    <n v="1"/>
  </r>
  <r>
    <x v="7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CD6C1-ECA6-4F17-BEB1-5FD925242CA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25" firstHeaderRow="1" firstDataRow="1" firstDataCol="1"/>
  <pivotFields count="2">
    <pivotField axis="axisRow" showAll="0">
      <items count="16">
        <item x="11"/>
        <item x="14"/>
        <item x="8"/>
        <item x="1"/>
        <item x="3"/>
        <item x="10"/>
        <item x="4"/>
        <item x="7"/>
        <item x="2"/>
        <item x="5"/>
        <item x="9"/>
        <item x="13"/>
        <item x="12"/>
        <item x="6"/>
        <item x="0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No.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E7BA91-ABC1-459D-B9CF-20A264551B19}" autoFormatId="16" applyNumberFormats="0" applyBorderFormats="0" applyFontFormats="0" applyPatternFormats="0" applyAlignmentFormats="0" applyWidthHeightFormats="0">
  <queryTableRefresh nextId="5">
    <queryTableFields count="2">
      <queryTableField id="3" name="Village" tableColumnId="3"/>
      <queryTableField id="4" name="No.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9D2AD-559B-42E9-99A1-FE9E189FDBDD}" name="Table1" displayName="Table1" ref="C5:BM12" totalsRowShown="0" headerRowDxfId="1" dataDxfId="2" headerRowBorderDxfId="67" tableBorderDxfId="68" totalsRowBorderDxfId="66">
  <autoFilter ref="C5:BM12" xr:uid="{F459D2AD-559B-42E9-99A1-FE9E189FDBDD}"/>
  <tableColumns count="63">
    <tableColumn id="1" xr3:uid="{03E24CB1-AB1D-421F-82E5-87034438121A}" name="1" dataDxfId="65"/>
    <tableColumn id="2" xr3:uid="{03B1D24F-51CF-4425-9E4D-4F730BFBE523}" name="Village" dataDxfId="64"/>
    <tableColumn id="3" xr3:uid="{1A2A8024-3E56-4CD4-A1E9-982213432DED}" name="No." dataDxfId="63"/>
    <tableColumn id="4" xr3:uid="{0C18AA01-4A1B-490D-ADC1-FAFC20B19020}" name="Village2" dataDxfId="62"/>
    <tableColumn id="5" xr3:uid="{D15C0D9E-4108-4597-93FA-26F31F896CD1}" name="No.3" dataDxfId="61"/>
    <tableColumn id="6" xr3:uid="{B48D28DB-A36C-4AEF-B981-336048BB95BD}" name="Village4" dataDxfId="60"/>
    <tableColumn id="7" xr3:uid="{ECF48E87-3F8D-4BCA-A3B0-3FF4A5E14D53}" name="No.5" dataDxfId="59"/>
    <tableColumn id="8" xr3:uid="{2F6657B9-9A0C-4C16-9164-00D9A5D65821}" name="Village6" dataDxfId="58"/>
    <tableColumn id="9" xr3:uid="{0C171017-A172-4038-94E7-459E48F51576}" name="No.7" dataDxfId="57"/>
    <tableColumn id="10" xr3:uid="{0618A86D-B894-4506-9F80-7003EC8AD86F}" name="Village8" dataDxfId="56"/>
    <tableColumn id="11" xr3:uid="{CAC8B2DB-7115-4193-8A9B-F2FED58465B3}" name="No.9" dataDxfId="55"/>
    <tableColumn id="12" xr3:uid="{DD5A3997-CDC2-4DEC-85AA-A8B78EFAA189}" name="Village10" dataDxfId="54"/>
    <tableColumn id="13" xr3:uid="{D4761711-3C29-4125-AC93-E9D7020F6180}" name="No.11" dataDxfId="53"/>
    <tableColumn id="14" xr3:uid="{8929965E-0F9B-4AF2-8AE6-832CDFC90CD7}" name="Village12" dataDxfId="52"/>
    <tableColumn id="15" xr3:uid="{04CC0C08-279C-4EBB-9355-F79944616F22}" name="No.13" dataDxfId="51"/>
    <tableColumn id="16" xr3:uid="{99E34645-F178-42D4-A3CA-9F9AD3FE81C1}" name="Village14" dataDxfId="50"/>
    <tableColumn id="17" xr3:uid="{06731CF4-18C2-4C86-B439-A05748721085}" name="No.15" dataDxfId="49"/>
    <tableColumn id="18" xr3:uid="{37EED089-3E34-47CB-9754-837E19E125A4}" name="Village16" dataDxfId="48"/>
    <tableColumn id="19" xr3:uid="{FADEFC74-4504-449C-A948-A5D236A5BC66}" name="No.17" dataDxfId="47"/>
    <tableColumn id="20" xr3:uid="{A893623F-3885-42E7-8F0B-F791371FD930}" name="Village18" dataDxfId="46"/>
    <tableColumn id="21" xr3:uid="{0A88472A-4E4D-4471-AEC2-66C6F605429C}" name="No.19" dataDxfId="45"/>
    <tableColumn id="22" xr3:uid="{A3D2DD0E-F216-4F6E-BA0D-EE26C0A34452}" name="Village20" dataDxfId="44"/>
    <tableColumn id="23" xr3:uid="{148DE557-38B6-4DA0-B998-567976B4D922}" name="No.21" dataDxfId="43"/>
    <tableColumn id="24" xr3:uid="{331773DB-299C-4304-9B44-58AD8AA0E2EB}" name="Village22" dataDxfId="42"/>
    <tableColumn id="25" xr3:uid="{11E389F4-3DA8-42A5-99BF-AF8D6151FB69}" name="No.23" dataDxfId="41"/>
    <tableColumn id="26" xr3:uid="{E3723C84-3282-44F1-9CB1-418D326618D0}" name="Village24" dataDxfId="40"/>
    <tableColumn id="27" xr3:uid="{4D74499C-1B9F-4E6A-8F2C-8E2DA79FF423}" name="No.25" dataDxfId="39"/>
    <tableColumn id="28" xr3:uid="{E1C89EA9-7DED-4C85-8E2E-80B3CCB0AD29}" name="Village26" dataDxfId="38"/>
    <tableColumn id="29" xr3:uid="{B6C1EC37-AD50-4601-93BB-33E19ACC20C7}" name="No.27" dataDxfId="37"/>
    <tableColumn id="30" xr3:uid="{9C8CF982-FED4-40AA-A753-536EBE3536C0}" name="Village28" dataDxfId="36"/>
    <tableColumn id="31" xr3:uid="{6728012E-A957-4676-82F9-0F4759A81B89}" name="No.29" dataDxfId="35"/>
    <tableColumn id="32" xr3:uid="{3FDDA775-0712-416E-B870-F21E3BA84766}" name="Village30" dataDxfId="34"/>
    <tableColumn id="33" xr3:uid="{AD2863C2-AAE1-4976-8605-5F632B0C7BFD}" name="No.31" dataDxfId="33"/>
    <tableColumn id="34" xr3:uid="{0AE58618-D364-46C1-A126-ACEBD44FE8E0}" name="Village32" dataDxfId="32"/>
    <tableColumn id="35" xr3:uid="{68853034-664B-4D0B-96E8-2521D4BD7CBA}" name="No.33" dataDxfId="31"/>
    <tableColumn id="36" xr3:uid="{B5ACD4D2-C8B1-44EC-9FEF-CBA473C3D656}" name="Village34" dataDxfId="30"/>
    <tableColumn id="37" xr3:uid="{40470425-A742-4442-8D55-010EF6BDA883}" name="No.35" dataDxfId="29"/>
    <tableColumn id="38" xr3:uid="{89FD5910-A7EA-49F2-A8B3-7CFFFCEB871E}" name="Village36" dataDxfId="28"/>
    <tableColumn id="39" xr3:uid="{91549040-EDFC-431F-8004-70270C7F38CF}" name="No.37" dataDxfId="27"/>
    <tableColumn id="40" xr3:uid="{E64932DA-95F1-4659-9958-B8D2F1142E2C}" name="Village38" dataDxfId="26"/>
    <tableColumn id="41" xr3:uid="{9D2127F3-08D2-48DC-8E5D-4B77AD284D8D}" name="No.39" dataDxfId="25"/>
    <tableColumn id="42" xr3:uid="{6B6E9A08-D9C0-48F0-9792-4FB943144F2B}" name="Village40" dataDxfId="24"/>
    <tableColumn id="43" xr3:uid="{E984BB77-DE59-42F7-B74A-FDAEEA8A5EB8}" name="No.41" dataDxfId="23"/>
    <tableColumn id="44" xr3:uid="{448A32C1-6A3A-41DD-B38B-CBC14D4B7930}" name="Village42" dataDxfId="22"/>
    <tableColumn id="45" xr3:uid="{5C38BA15-22C7-4187-A620-E1AF5F884ABC}" name="No.43" dataDxfId="21"/>
    <tableColumn id="46" xr3:uid="{7CDAD759-230B-42C2-844D-266CF87378ED}" name="Village44" dataDxfId="20"/>
    <tableColumn id="47" xr3:uid="{FC151317-1508-445D-8BB1-151141F22B6C}" name="No.45" dataDxfId="19"/>
    <tableColumn id="48" xr3:uid="{6F56A23F-13A0-43A3-B1A3-F477C4C8F7CB}" name="Village46" dataDxfId="18"/>
    <tableColumn id="49" xr3:uid="{274958FE-C7AA-4B46-89B2-3CFF9BE05263}" name="No.47" dataDxfId="17"/>
    <tableColumn id="50" xr3:uid="{DC112D8C-F643-469D-A81B-88C118C985D3}" name="Village48" dataDxfId="16"/>
    <tableColumn id="51" xr3:uid="{BACE1F1F-B1C6-4E6B-9918-89931BBD68B6}" name="No.49" dataDxfId="15"/>
    <tableColumn id="52" xr3:uid="{8C4217A3-8E56-43C9-8CAC-F64D8AE6E15D}" name="Village50" dataDxfId="14"/>
    <tableColumn id="53" xr3:uid="{D38072FB-2457-4619-BA77-A84E940D4770}" name="No.51" dataDxfId="13"/>
    <tableColumn id="54" xr3:uid="{96C17503-06DE-437D-8721-225320320095}" name="Village52" dataDxfId="12"/>
    <tableColumn id="55" xr3:uid="{3D596DBE-9225-4684-9749-A8CA390DD2E0}" name="No.53" dataDxfId="11"/>
    <tableColumn id="56" xr3:uid="{09DEE05F-D0C5-4A4C-ACC8-52792A44E8C0}" name="Village54" dataDxfId="10"/>
    <tableColumn id="57" xr3:uid="{29B86E7A-94FB-4DFE-BC43-17C556504355}" name="No.55" dataDxfId="9"/>
    <tableColumn id="58" xr3:uid="{5F6F91DD-4AA7-4E48-8B5B-50876161C803}" name="Village56" dataDxfId="8"/>
    <tableColumn id="59" xr3:uid="{E91F39ED-9F0E-4590-B3ED-5FBE749DE4E0}" name="No.57" dataDxfId="7"/>
    <tableColumn id="60" xr3:uid="{A455CB1C-D488-4B04-B902-81944E9FCA38}" name="Village58" dataDxfId="6"/>
    <tableColumn id="61" xr3:uid="{C835B41C-E6F2-4720-B2D0-52FC947D7E15}" name="No.59" dataDxfId="5"/>
    <tableColumn id="62" xr3:uid="{2AF63B1E-E46C-43D8-93EC-D45ADD96D4B2}" name="Village60" dataDxfId="4"/>
    <tableColumn id="63" xr3:uid="{E626591E-85BC-46A9-9BAB-B86DDB666F8D}" name="No.61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81F45-1ACE-496E-8393-8A97D668A2FC}" name="RESULT" displayName="RESULT" ref="C3:D31" tableType="queryTable" totalsRowShown="0">
  <autoFilter ref="C3:D31" xr:uid="{45A81F45-1ACE-496E-8393-8A97D668A2FC}"/>
  <tableColumns count="2">
    <tableColumn id="3" xr3:uid="{B7130C32-3E17-40D7-9FDC-B51027E99EDE}" uniqueName="3" name="Village" queryTableFieldId="3" dataDxfId="0"/>
    <tableColumn id="4" xr3:uid="{FDFDAC79-79DA-4166-8D8A-9B6134C622A3}" uniqueName="4" name="No." queryTableField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4"/>
  <sheetViews>
    <sheetView topLeftCell="A7" zoomScale="115" zoomScaleNormal="115" zoomScaleSheetLayoutView="100" workbookViewId="0">
      <selection activeCell="G9" sqref="G9"/>
    </sheetView>
  </sheetViews>
  <sheetFormatPr defaultColWidth="8.88671875" defaultRowHeight="14.4" x14ac:dyDescent="0.3"/>
  <cols>
    <col min="1" max="1" width="4" style="1" customWidth="1"/>
    <col min="2" max="2" width="7.21875" style="1" customWidth="1"/>
    <col min="3" max="3" width="7.44140625" style="1" bestFit="1" customWidth="1"/>
    <col min="4" max="4" width="11.44140625" style="3" bestFit="1" customWidth="1"/>
    <col min="5" max="5" width="5.5546875" style="3" customWidth="1"/>
    <col min="6" max="6" width="11.44140625" style="3" bestFit="1" customWidth="1"/>
    <col min="7" max="7" width="6.5546875" style="3" customWidth="1"/>
    <col min="8" max="8" width="11.44140625" style="3" bestFit="1" customWidth="1"/>
    <col min="9" max="9" width="6.5546875" style="3" customWidth="1"/>
    <col min="10" max="10" width="11.44140625" style="3" bestFit="1" customWidth="1"/>
    <col min="11" max="11" width="6.5546875" style="3" customWidth="1"/>
    <col min="12" max="12" width="9.21875" style="3" customWidth="1"/>
    <col min="13" max="13" width="6.5546875" style="3" customWidth="1"/>
    <col min="14" max="14" width="11.44140625" style="3" bestFit="1" customWidth="1"/>
    <col min="15" max="15" width="7.6640625" style="3" customWidth="1"/>
    <col min="16" max="16" width="11.44140625" style="3" bestFit="1" customWidth="1"/>
    <col min="17" max="17" width="7.6640625" style="3" customWidth="1"/>
    <col min="18" max="18" width="10.21875" style="3" customWidth="1"/>
    <col min="19" max="19" width="7.6640625" style="3" customWidth="1"/>
    <col min="20" max="20" width="10.21875" style="3" customWidth="1"/>
    <col min="21" max="21" width="7.6640625" style="3" customWidth="1"/>
    <col min="22" max="22" width="10.21875" style="3" customWidth="1"/>
    <col min="23" max="23" width="7.6640625" style="3" customWidth="1"/>
    <col min="24" max="24" width="10.21875" style="3" customWidth="1"/>
    <col min="25" max="25" width="7.6640625" style="3" customWidth="1"/>
    <col min="26" max="26" width="10.21875" style="3" customWidth="1"/>
    <col min="27" max="27" width="7.6640625" style="3" customWidth="1"/>
    <col min="28" max="28" width="10.21875" style="3" customWidth="1"/>
    <col min="29" max="29" width="7.6640625" style="3" customWidth="1"/>
    <col min="30" max="30" width="11.109375" style="3" bestFit="1" customWidth="1"/>
    <col min="31" max="31" width="7.6640625" style="3" customWidth="1"/>
    <col min="32" max="32" width="14.6640625" style="3" bestFit="1" customWidth="1"/>
    <col min="33" max="33" width="7.6640625" style="3" customWidth="1"/>
    <col min="34" max="34" width="14" style="3" bestFit="1" customWidth="1"/>
    <col min="35" max="35" width="7.6640625" style="3" customWidth="1"/>
    <col min="36" max="36" width="10.21875" style="3" customWidth="1"/>
    <col min="37" max="37" width="7.6640625" style="3" customWidth="1"/>
    <col min="38" max="38" width="10.21875" style="3" customWidth="1"/>
    <col min="39" max="39" width="7.6640625" style="3" customWidth="1"/>
    <col min="40" max="40" width="10.21875" style="3" customWidth="1"/>
    <col min="41" max="41" width="7.6640625" style="3" customWidth="1"/>
    <col min="42" max="42" width="10.21875" style="3" customWidth="1"/>
    <col min="43" max="43" width="7.6640625" style="3" customWidth="1"/>
    <col min="44" max="44" width="10.21875" style="3" customWidth="1"/>
    <col min="45" max="45" width="7.6640625" style="3" customWidth="1"/>
    <col min="46" max="46" width="10.21875" style="3" customWidth="1"/>
    <col min="47" max="47" width="7.6640625" style="3" customWidth="1"/>
    <col min="48" max="48" width="10.21875" style="3" customWidth="1"/>
    <col min="49" max="49" width="7.6640625" style="3" customWidth="1"/>
    <col min="50" max="50" width="10.21875" style="3" customWidth="1"/>
    <col min="51" max="51" width="7.6640625" style="3" customWidth="1"/>
    <col min="52" max="52" width="10.21875" style="3" customWidth="1"/>
    <col min="53" max="53" width="7.6640625" style="3" customWidth="1"/>
    <col min="54" max="54" width="10.21875" style="3" customWidth="1"/>
    <col min="55" max="55" width="7.6640625" style="3" customWidth="1"/>
    <col min="56" max="56" width="10.21875" style="3" customWidth="1"/>
    <col min="57" max="57" width="7.6640625" style="3" customWidth="1"/>
    <col min="58" max="58" width="10.21875" style="3" customWidth="1"/>
    <col min="59" max="59" width="7.6640625" style="3" customWidth="1"/>
    <col min="60" max="60" width="10.21875" style="3" customWidth="1"/>
    <col min="61" max="61" width="7.6640625" style="3" customWidth="1"/>
    <col min="62" max="62" width="10.21875" style="3" customWidth="1"/>
    <col min="63" max="63" width="7.6640625" style="3" customWidth="1"/>
    <col min="64" max="64" width="10.21875" style="3" customWidth="1"/>
    <col min="65" max="65" width="7.6640625" style="3" customWidth="1"/>
    <col min="66" max="16384" width="8.88671875" style="1"/>
  </cols>
  <sheetData>
    <row r="1" spans="1:65" ht="15.6" x14ac:dyDescent="0.3">
      <c r="A1" s="27" t="s">
        <v>24</v>
      </c>
      <c r="B1" s="28"/>
      <c r="C1" s="4" t="s">
        <v>17</v>
      </c>
      <c r="F1" s="16" t="s">
        <v>22</v>
      </c>
      <c r="G1" s="17"/>
      <c r="H1" s="14">
        <f>DATEVALUE("1"&amp;C1)</f>
        <v>44044</v>
      </c>
      <c r="I1" s="15"/>
      <c r="J1" s="15"/>
      <c r="K1" s="6"/>
      <c r="L1" s="6"/>
      <c r="M1" s="5"/>
      <c r="P1" s="23" t="s">
        <v>23</v>
      </c>
      <c r="Q1" s="24"/>
      <c r="R1" s="14">
        <f>EOMONTH(H1,0)</f>
        <v>44074</v>
      </c>
      <c r="S1" s="15"/>
      <c r="T1" s="15"/>
      <c r="U1" s="6"/>
      <c r="V1" s="6"/>
      <c r="W1" s="5"/>
    </row>
    <row r="4" spans="1:65" s="3" customFormat="1" ht="15" customHeight="1" x14ac:dyDescent="0.3">
      <c r="A4" s="25" t="s">
        <v>28</v>
      </c>
      <c r="B4" s="25"/>
      <c r="C4" s="7" t="s">
        <v>9</v>
      </c>
      <c r="D4" s="18">
        <f>H1</f>
        <v>44044</v>
      </c>
      <c r="E4" s="19"/>
      <c r="F4" s="18">
        <f>IF(D4&lt;$R$1,D4+1,"")</f>
        <v>44045</v>
      </c>
      <c r="G4" s="19"/>
      <c r="H4" s="18">
        <f>IF(F4&lt;$R$1,F4+1,"")</f>
        <v>44046</v>
      </c>
      <c r="I4" s="19"/>
      <c r="J4" s="18">
        <f>IF(H4&lt;$R$1,H4+1,"")</f>
        <v>44047</v>
      </c>
      <c r="K4" s="19"/>
      <c r="L4" s="18">
        <f>IF(J4&lt;$R$1,J4+1,"")</f>
        <v>44048</v>
      </c>
      <c r="M4" s="19"/>
      <c r="N4" s="18">
        <f>IF(L4&lt;$R$1,L4+1,"")</f>
        <v>44049</v>
      </c>
      <c r="O4" s="19"/>
      <c r="P4" s="18">
        <f>IF(N4&lt;$R$1,N4+1,"")</f>
        <v>44050</v>
      </c>
      <c r="Q4" s="19"/>
      <c r="R4" s="18">
        <f>IF(P4&lt;$R$1,P4+1,"")</f>
        <v>44051</v>
      </c>
      <c r="S4" s="19"/>
      <c r="T4" s="18">
        <f>IF(R4&lt;$R$1,R4+1,"")</f>
        <v>44052</v>
      </c>
      <c r="U4" s="19"/>
      <c r="V4" s="18">
        <f>IF(T4&lt;$R$1,T4+1,"")</f>
        <v>44053</v>
      </c>
      <c r="W4" s="19"/>
      <c r="X4" s="18">
        <f>IF(V4&lt;$R$1,V4+1,"")</f>
        <v>44054</v>
      </c>
      <c r="Y4" s="19"/>
      <c r="Z4" s="18">
        <f>IF(X4&lt;$R$1,X4+1,"")</f>
        <v>44055</v>
      </c>
      <c r="AA4" s="19"/>
      <c r="AB4" s="18">
        <f>IF(Z4&lt;$R$1,Z4+1,"")</f>
        <v>44056</v>
      </c>
      <c r="AC4" s="19"/>
      <c r="AD4" s="18">
        <f>IF(AB4&lt;$R$1,AB4+1,"")</f>
        <v>44057</v>
      </c>
      <c r="AE4" s="19"/>
      <c r="AF4" s="18">
        <f>IF(AD4&lt;$R$1,AD4+1,"")</f>
        <v>44058</v>
      </c>
      <c r="AG4" s="19"/>
      <c r="AH4" s="18">
        <f>IF(AF4&lt;$R$1,AF4+1,"")</f>
        <v>44059</v>
      </c>
      <c r="AI4" s="19"/>
      <c r="AJ4" s="18">
        <f>IF(AH4&lt;$R$1,AH4+1,"")</f>
        <v>44060</v>
      </c>
      <c r="AK4" s="19"/>
      <c r="AL4" s="18">
        <f>IF(AJ4&lt;$R$1,AJ4+1,"")</f>
        <v>44061</v>
      </c>
      <c r="AM4" s="19"/>
      <c r="AN4" s="18">
        <f>IF(AL4&lt;$R$1,AL4+1,"")</f>
        <v>44062</v>
      </c>
      <c r="AO4" s="19"/>
      <c r="AP4" s="18">
        <f>IF(AN4&lt;$R$1,AN4+1,"")</f>
        <v>44063</v>
      </c>
      <c r="AQ4" s="19"/>
      <c r="AR4" s="18">
        <f>IF(AP4&lt;$R$1,AP4+1,"")</f>
        <v>44064</v>
      </c>
      <c r="AS4" s="19"/>
      <c r="AT4" s="18">
        <f>IF(AR4&lt;$R$1,AR4+1,"")</f>
        <v>44065</v>
      </c>
      <c r="AU4" s="19"/>
      <c r="AV4" s="18">
        <f>IF(AT4&lt;$R$1,AT4+1,"")</f>
        <v>44066</v>
      </c>
      <c r="AW4" s="19"/>
      <c r="AX4" s="18">
        <f>IF(AV4&lt;$R$1,AV4+1,"")</f>
        <v>44067</v>
      </c>
      <c r="AY4" s="19"/>
      <c r="AZ4" s="18">
        <f>IF(AX4&lt;$R$1,AX4+1,"")</f>
        <v>44068</v>
      </c>
      <c r="BA4" s="19"/>
      <c r="BB4" s="18">
        <f>IF(AZ4&lt;$R$1,AZ4+1,"")</f>
        <v>44069</v>
      </c>
      <c r="BC4" s="19"/>
      <c r="BD4" s="18">
        <f>IF(BB4&lt;$R$1,BB4+1,"")</f>
        <v>44070</v>
      </c>
      <c r="BE4" s="19"/>
      <c r="BF4" s="18">
        <f>IF(BD4&lt;$R$1,BD4+1,"")</f>
        <v>44071</v>
      </c>
      <c r="BG4" s="19"/>
      <c r="BH4" s="18">
        <f>IF(BF4&lt;$R$1,BF4+1,"")</f>
        <v>44072</v>
      </c>
      <c r="BI4" s="19"/>
      <c r="BJ4" s="18">
        <f>IF(BH4&lt;$R$1,BH4+1,"")</f>
        <v>44073</v>
      </c>
      <c r="BK4" s="19"/>
      <c r="BL4" s="20">
        <f>IF(BJ4&lt;$R$1,BJ4+1,"")</f>
        <v>44074</v>
      </c>
      <c r="BM4" s="21"/>
    </row>
    <row r="5" spans="1:65" s="3" customFormat="1" ht="15" customHeight="1" x14ac:dyDescent="0.3">
      <c r="A5" s="26" t="s">
        <v>5</v>
      </c>
      <c r="B5" s="26"/>
      <c r="C5" s="34" t="s">
        <v>46</v>
      </c>
      <c r="D5" s="35" t="s">
        <v>26</v>
      </c>
      <c r="E5" s="35" t="s">
        <v>27</v>
      </c>
      <c r="F5" s="35" t="s">
        <v>47</v>
      </c>
      <c r="G5" s="35" t="s">
        <v>48</v>
      </c>
      <c r="H5" s="35" t="s">
        <v>49</v>
      </c>
      <c r="I5" s="35" t="s">
        <v>50</v>
      </c>
      <c r="J5" s="35" t="s">
        <v>51</v>
      </c>
      <c r="K5" s="35" t="s">
        <v>52</v>
      </c>
      <c r="L5" s="35" t="s">
        <v>53</v>
      </c>
      <c r="M5" s="35" t="s">
        <v>54</v>
      </c>
      <c r="N5" s="35" t="s">
        <v>55</v>
      </c>
      <c r="O5" s="35" t="s">
        <v>56</v>
      </c>
      <c r="P5" s="35" t="s">
        <v>57</v>
      </c>
      <c r="Q5" s="35" t="s">
        <v>58</v>
      </c>
      <c r="R5" s="35" t="s">
        <v>59</v>
      </c>
      <c r="S5" s="35" t="s">
        <v>60</v>
      </c>
      <c r="T5" s="35" t="s">
        <v>61</v>
      </c>
      <c r="U5" s="35" t="s">
        <v>62</v>
      </c>
      <c r="V5" s="35" t="s">
        <v>63</v>
      </c>
      <c r="W5" s="35" t="s">
        <v>64</v>
      </c>
      <c r="X5" s="35" t="s">
        <v>65</v>
      </c>
      <c r="Y5" s="35" t="s">
        <v>66</v>
      </c>
      <c r="Z5" s="35" t="s">
        <v>67</v>
      </c>
      <c r="AA5" s="35" t="s">
        <v>68</v>
      </c>
      <c r="AB5" s="35" t="s">
        <v>69</v>
      </c>
      <c r="AC5" s="35" t="s">
        <v>70</v>
      </c>
      <c r="AD5" s="35" t="s">
        <v>71</v>
      </c>
      <c r="AE5" s="35" t="s">
        <v>72</v>
      </c>
      <c r="AF5" s="35" t="s">
        <v>73</v>
      </c>
      <c r="AG5" s="35" t="s">
        <v>74</v>
      </c>
      <c r="AH5" s="35" t="s">
        <v>75</v>
      </c>
      <c r="AI5" s="35" t="s">
        <v>76</v>
      </c>
      <c r="AJ5" s="35" t="s">
        <v>77</v>
      </c>
      <c r="AK5" s="35" t="s">
        <v>78</v>
      </c>
      <c r="AL5" s="35" t="s">
        <v>79</v>
      </c>
      <c r="AM5" s="35" t="s">
        <v>80</v>
      </c>
      <c r="AN5" s="35" t="s">
        <v>81</v>
      </c>
      <c r="AO5" s="35" t="s">
        <v>82</v>
      </c>
      <c r="AP5" s="35" t="s">
        <v>83</v>
      </c>
      <c r="AQ5" s="35" t="s">
        <v>84</v>
      </c>
      <c r="AR5" s="35" t="s">
        <v>85</v>
      </c>
      <c r="AS5" s="35" t="s">
        <v>86</v>
      </c>
      <c r="AT5" s="35" t="s">
        <v>87</v>
      </c>
      <c r="AU5" s="35" t="s">
        <v>88</v>
      </c>
      <c r="AV5" s="35" t="s">
        <v>89</v>
      </c>
      <c r="AW5" s="35" t="s">
        <v>90</v>
      </c>
      <c r="AX5" s="35" t="s">
        <v>91</v>
      </c>
      <c r="AY5" s="35" t="s">
        <v>92</v>
      </c>
      <c r="AZ5" s="35" t="s">
        <v>93</v>
      </c>
      <c r="BA5" s="35" t="s">
        <v>94</v>
      </c>
      <c r="BB5" s="35" t="s">
        <v>95</v>
      </c>
      <c r="BC5" s="35" t="s">
        <v>96</v>
      </c>
      <c r="BD5" s="35" t="s">
        <v>97</v>
      </c>
      <c r="BE5" s="35" t="s">
        <v>98</v>
      </c>
      <c r="BF5" s="35" t="s">
        <v>99</v>
      </c>
      <c r="BG5" s="35" t="s">
        <v>100</v>
      </c>
      <c r="BH5" s="35" t="s">
        <v>101</v>
      </c>
      <c r="BI5" s="35" t="s">
        <v>102</v>
      </c>
      <c r="BJ5" s="35" t="s">
        <v>103</v>
      </c>
      <c r="BK5" s="35" t="s">
        <v>104</v>
      </c>
      <c r="BL5" s="35" t="s">
        <v>105</v>
      </c>
      <c r="BM5" s="36" t="s">
        <v>106</v>
      </c>
    </row>
    <row r="6" spans="1:65" s="3" customFormat="1" ht="15" customHeight="1" x14ac:dyDescent="0.3">
      <c r="A6" s="26"/>
      <c r="B6" s="26"/>
      <c r="C6" s="31">
        <v>2</v>
      </c>
      <c r="D6" s="10" t="s">
        <v>29</v>
      </c>
      <c r="E6" s="10">
        <v>15</v>
      </c>
      <c r="F6" s="10" t="s">
        <v>30</v>
      </c>
      <c r="G6" s="10">
        <v>15</v>
      </c>
      <c r="H6" s="10" t="s">
        <v>30</v>
      </c>
      <c r="I6" s="10">
        <v>15</v>
      </c>
      <c r="J6" s="10" t="s">
        <v>31</v>
      </c>
      <c r="K6" s="10">
        <v>5</v>
      </c>
      <c r="L6" s="10" t="s">
        <v>32</v>
      </c>
      <c r="M6" s="10">
        <v>25</v>
      </c>
      <c r="N6" s="10" t="s">
        <v>33</v>
      </c>
      <c r="O6" s="10">
        <v>13</v>
      </c>
      <c r="P6" s="10" t="s">
        <v>30</v>
      </c>
      <c r="Q6" s="10">
        <v>17</v>
      </c>
      <c r="R6" s="10" t="s">
        <v>36</v>
      </c>
      <c r="S6" s="10">
        <v>10</v>
      </c>
      <c r="T6" s="7" t="s">
        <v>36</v>
      </c>
      <c r="U6" s="7">
        <v>9</v>
      </c>
      <c r="V6" s="7" t="s">
        <v>36</v>
      </c>
      <c r="W6" s="7">
        <v>10</v>
      </c>
      <c r="X6" s="7" t="s">
        <v>36</v>
      </c>
      <c r="Y6" s="7">
        <v>9</v>
      </c>
      <c r="Z6" s="7" t="s">
        <v>38</v>
      </c>
      <c r="AA6" s="7">
        <v>19</v>
      </c>
      <c r="AB6" s="7" t="s">
        <v>38</v>
      </c>
      <c r="AC6" s="7">
        <v>5</v>
      </c>
      <c r="AD6" s="10" t="s">
        <v>36</v>
      </c>
      <c r="AE6" s="7">
        <v>13</v>
      </c>
      <c r="AF6" s="10" t="s">
        <v>41</v>
      </c>
      <c r="AG6" s="7">
        <v>9</v>
      </c>
      <c r="AH6" s="10" t="s">
        <v>43</v>
      </c>
      <c r="AI6" s="7">
        <v>12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32"/>
    </row>
    <row r="7" spans="1:65" s="3" customFormat="1" ht="15" customHeight="1" x14ac:dyDescent="0.3">
      <c r="A7" s="26"/>
      <c r="B7" s="26"/>
      <c r="C7" s="31">
        <v>3</v>
      </c>
      <c r="D7" s="10"/>
      <c r="E7" s="10"/>
      <c r="F7" s="10" t="s">
        <v>107</v>
      </c>
      <c r="G7" s="10">
        <v>1</v>
      </c>
      <c r="H7" s="10"/>
      <c r="I7" s="10"/>
      <c r="J7" s="10" t="s">
        <v>30</v>
      </c>
      <c r="K7" s="10">
        <v>3</v>
      </c>
      <c r="L7" s="10" t="s">
        <v>34</v>
      </c>
      <c r="M7" s="10">
        <v>20</v>
      </c>
      <c r="N7" s="10" t="s">
        <v>31</v>
      </c>
      <c r="O7" s="10">
        <v>13</v>
      </c>
      <c r="P7" s="10" t="s">
        <v>36</v>
      </c>
      <c r="Q7" s="10">
        <v>1</v>
      </c>
      <c r="R7" s="10"/>
      <c r="S7" s="10"/>
      <c r="T7" s="7"/>
      <c r="U7" s="7"/>
      <c r="V7" s="7"/>
      <c r="W7" s="7"/>
      <c r="X7" s="7"/>
      <c r="Y7" s="7"/>
      <c r="Z7" s="7"/>
      <c r="AA7" s="7"/>
      <c r="AB7" s="7" t="s">
        <v>39</v>
      </c>
      <c r="AC7" s="7">
        <v>2</v>
      </c>
      <c r="AD7" s="10" t="s">
        <v>41</v>
      </c>
      <c r="AE7" s="7">
        <v>12</v>
      </c>
      <c r="AF7" s="10" t="s">
        <v>44</v>
      </c>
      <c r="AG7" s="7">
        <v>11</v>
      </c>
      <c r="AH7" s="10" t="s">
        <v>42</v>
      </c>
      <c r="AI7" s="7">
        <v>8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32"/>
    </row>
    <row r="8" spans="1:65" s="3" customFormat="1" ht="15" customHeight="1" x14ac:dyDescent="0.3">
      <c r="A8" s="26"/>
      <c r="B8" s="26"/>
      <c r="C8" s="31">
        <v>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30</v>
      </c>
      <c r="O8" s="10">
        <v>5</v>
      </c>
      <c r="P8" s="10"/>
      <c r="Q8" s="10"/>
      <c r="R8" s="10"/>
      <c r="S8" s="10"/>
      <c r="T8" s="7"/>
      <c r="U8" s="7"/>
      <c r="V8" s="7"/>
      <c r="W8" s="7"/>
      <c r="X8" s="7"/>
      <c r="Y8" s="7"/>
      <c r="Z8" s="7"/>
      <c r="AA8" s="7"/>
      <c r="AB8" s="7" t="s">
        <v>40</v>
      </c>
      <c r="AC8" s="7">
        <v>1</v>
      </c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2"/>
    </row>
    <row r="9" spans="1:65" s="3" customFormat="1" ht="15" customHeight="1" x14ac:dyDescent="0.3">
      <c r="A9" s="26"/>
      <c r="B9" s="26"/>
      <c r="C9" s="31">
        <v>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7" t="s">
        <v>41</v>
      </c>
      <c r="AC9" s="7">
        <v>7</v>
      </c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32"/>
    </row>
    <row r="10" spans="1:65" s="3" customFormat="1" ht="15" customHeight="1" x14ac:dyDescent="0.3">
      <c r="A10" s="26"/>
      <c r="B10" s="26"/>
      <c r="C10" s="31">
        <v>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32"/>
    </row>
    <row r="11" spans="1:65" s="3" customFormat="1" ht="15" customHeight="1" x14ac:dyDescent="0.3">
      <c r="A11" s="26"/>
      <c r="B11" s="26"/>
      <c r="C11" s="31"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32"/>
    </row>
    <row r="12" spans="1:65" s="3" customFormat="1" ht="15" customHeight="1" x14ac:dyDescent="0.3">
      <c r="A12" s="26"/>
      <c r="B12" s="26"/>
      <c r="C12" s="31">
        <v>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33"/>
    </row>
    <row r="13" spans="1:65" s="11" customFormat="1" x14ac:dyDescent="0.3">
      <c r="A13" s="26"/>
      <c r="B13" s="26"/>
      <c r="C13" s="37"/>
      <c r="D13" s="38" t="s">
        <v>35</v>
      </c>
      <c r="E13" s="38">
        <f>SUM(E6:E12)</f>
        <v>15</v>
      </c>
      <c r="F13" s="38" t="s">
        <v>35</v>
      </c>
      <c r="G13" s="38">
        <f t="shared" ref="G13" si="0">SUM(G6:G12)</f>
        <v>16</v>
      </c>
      <c r="H13" s="38" t="s">
        <v>35</v>
      </c>
      <c r="I13" s="38">
        <f t="shared" ref="I13" si="1">SUM(I6:I12)</f>
        <v>15</v>
      </c>
      <c r="J13" s="38" t="s">
        <v>35</v>
      </c>
      <c r="K13" s="38">
        <f t="shared" ref="K13" si="2">SUM(K6:K12)</f>
        <v>8</v>
      </c>
      <c r="L13" s="38" t="s">
        <v>35</v>
      </c>
      <c r="M13" s="38">
        <f t="shared" ref="M13" si="3">SUM(M6:M12)</f>
        <v>45</v>
      </c>
      <c r="N13" s="38" t="s">
        <v>35</v>
      </c>
      <c r="O13" s="38">
        <f t="shared" ref="O13" si="4">SUM(O6:O12)</f>
        <v>31</v>
      </c>
      <c r="P13" s="38" t="s">
        <v>35</v>
      </c>
      <c r="Q13" s="38">
        <f t="shared" ref="Q13" si="5">SUM(Q6:Q12)</f>
        <v>18</v>
      </c>
      <c r="R13" s="38" t="s">
        <v>35</v>
      </c>
      <c r="S13" s="38">
        <f t="shared" ref="S13" si="6">SUM(S6:S12)</f>
        <v>10</v>
      </c>
      <c r="T13" s="38" t="s">
        <v>35</v>
      </c>
      <c r="U13" s="38">
        <f t="shared" ref="U13" si="7">SUM(U6:U12)</f>
        <v>9</v>
      </c>
      <c r="V13" s="38" t="s">
        <v>35</v>
      </c>
      <c r="W13" s="38">
        <f t="shared" ref="W13" si="8">SUM(W6:W12)</f>
        <v>10</v>
      </c>
      <c r="X13" s="38" t="s">
        <v>35</v>
      </c>
      <c r="Y13" s="38">
        <f t="shared" ref="Y13:BM13" si="9">SUM(Y6:Y12)</f>
        <v>9</v>
      </c>
      <c r="Z13" s="38" t="s">
        <v>35</v>
      </c>
      <c r="AA13" s="38">
        <f t="shared" si="9"/>
        <v>19</v>
      </c>
      <c r="AB13" s="38" t="s">
        <v>35</v>
      </c>
      <c r="AC13" s="38">
        <f t="shared" si="9"/>
        <v>15</v>
      </c>
      <c r="AD13" s="38" t="s">
        <v>35</v>
      </c>
      <c r="AE13" s="38">
        <f t="shared" si="9"/>
        <v>25</v>
      </c>
      <c r="AF13" s="38" t="s">
        <v>35</v>
      </c>
      <c r="AG13" s="38">
        <f t="shared" si="9"/>
        <v>20</v>
      </c>
      <c r="AH13" s="38" t="s">
        <v>35</v>
      </c>
      <c r="AI13" s="38">
        <f t="shared" si="9"/>
        <v>20</v>
      </c>
      <c r="AJ13" s="38" t="s">
        <v>35</v>
      </c>
      <c r="AK13" s="38">
        <f t="shared" si="9"/>
        <v>0</v>
      </c>
      <c r="AL13" s="38" t="s">
        <v>35</v>
      </c>
      <c r="AM13" s="38">
        <f t="shared" si="9"/>
        <v>0</v>
      </c>
      <c r="AN13" s="38" t="s">
        <v>35</v>
      </c>
      <c r="AO13" s="38">
        <f t="shared" si="9"/>
        <v>0</v>
      </c>
      <c r="AP13" s="38" t="s">
        <v>35</v>
      </c>
      <c r="AQ13" s="38">
        <f t="shared" si="9"/>
        <v>0</v>
      </c>
      <c r="AR13" s="38" t="s">
        <v>35</v>
      </c>
      <c r="AS13" s="38">
        <f t="shared" si="9"/>
        <v>0</v>
      </c>
      <c r="AT13" s="38" t="s">
        <v>35</v>
      </c>
      <c r="AU13" s="38">
        <f t="shared" si="9"/>
        <v>0</v>
      </c>
      <c r="AV13" s="38" t="s">
        <v>35</v>
      </c>
      <c r="AW13" s="38">
        <f t="shared" si="9"/>
        <v>0</v>
      </c>
      <c r="AX13" s="38" t="s">
        <v>35</v>
      </c>
      <c r="AY13" s="38">
        <f t="shared" si="9"/>
        <v>0</v>
      </c>
      <c r="AZ13" s="38" t="s">
        <v>35</v>
      </c>
      <c r="BA13" s="38">
        <f t="shared" si="9"/>
        <v>0</v>
      </c>
      <c r="BB13" s="38" t="s">
        <v>35</v>
      </c>
      <c r="BC13" s="38">
        <f t="shared" si="9"/>
        <v>0</v>
      </c>
      <c r="BD13" s="38" t="s">
        <v>35</v>
      </c>
      <c r="BE13" s="38">
        <f t="shared" si="9"/>
        <v>0</v>
      </c>
      <c r="BF13" s="38" t="s">
        <v>35</v>
      </c>
      <c r="BG13" s="38">
        <f t="shared" si="9"/>
        <v>0</v>
      </c>
      <c r="BH13" s="38" t="s">
        <v>35</v>
      </c>
      <c r="BI13" s="38">
        <f t="shared" si="9"/>
        <v>0</v>
      </c>
      <c r="BJ13" s="38" t="s">
        <v>35</v>
      </c>
      <c r="BK13" s="38">
        <f t="shared" si="9"/>
        <v>0</v>
      </c>
      <c r="BL13" s="38" t="s">
        <v>35</v>
      </c>
      <c r="BM13" s="38">
        <f t="shared" si="9"/>
        <v>0</v>
      </c>
    </row>
    <row r="16" spans="1:65" x14ac:dyDescent="0.3">
      <c r="D16" s="8" t="s">
        <v>8</v>
      </c>
      <c r="E16" s="22">
        <f>SUM(E13:BM13)</f>
        <v>285</v>
      </c>
      <c r="F16" s="22"/>
    </row>
    <row r="17" spans="4:6" x14ac:dyDescent="0.3">
      <c r="D17" s="8" t="s">
        <v>37</v>
      </c>
      <c r="E17" s="22">
        <f>SUM(P13:BM13)</f>
        <v>155</v>
      </c>
      <c r="F17" s="22"/>
    </row>
    <row r="19" spans="4:6" x14ac:dyDescent="0.3">
      <c r="D19" s="12" t="s">
        <v>26</v>
      </c>
      <c r="E19" s="12" t="s">
        <v>27</v>
      </c>
    </row>
    <row r="20" spans="4:6" x14ac:dyDescent="0.3">
      <c r="D20" s="13" t="s">
        <v>29</v>
      </c>
      <c r="E20" s="13" t="s">
        <v>45</v>
      </c>
    </row>
    <row r="21" spans="4:6" x14ac:dyDescent="0.3">
      <c r="D21" s="13" t="s">
        <v>30</v>
      </c>
      <c r="E21" s="13" t="s">
        <v>45</v>
      </c>
    </row>
    <row r="22" spans="4:6" x14ac:dyDescent="0.3">
      <c r="D22" s="13" t="s">
        <v>31</v>
      </c>
      <c r="E22" s="13" t="s">
        <v>45</v>
      </c>
    </row>
    <row r="23" spans="4:6" x14ac:dyDescent="0.3">
      <c r="D23" s="13" t="s">
        <v>32</v>
      </c>
      <c r="E23" s="13" t="s">
        <v>45</v>
      </c>
    </row>
    <row r="24" spans="4:6" x14ac:dyDescent="0.3">
      <c r="D24" s="13" t="s">
        <v>34</v>
      </c>
      <c r="E24" s="13" t="s">
        <v>45</v>
      </c>
    </row>
  </sheetData>
  <mergeCells count="40">
    <mergeCell ref="E17:F17"/>
    <mergeCell ref="E16:F16"/>
    <mergeCell ref="P1:Q1"/>
    <mergeCell ref="A4:B4"/>
    <mergeCell ref="A5:B13"/>
    <mergeCell ref="D4:E4"/>
    <mergeCell ref="F4:G4"/>
    <mergeCell ref="J4:K4"/>
    <mergeCell ref="H4:I4"/>
    <mergeCell ref="A1:B1"/>
    <mergeCell ref="R4:S4"/>
    <mergeCell ref="P4:Q4"/>
    <mergeCell ref="N4:O4"/>
    <mergeCell ref="BL4:BM4"/>
    <mergeCell ref="BJ4:BK4"/>
    <mergeCell ref="BH4:BI4"/>
    <mergeCell ref="AT4:AU4"/>
    <mergeCell ref="AR4:AS4"/>
    <mergeCell ref="AZ4:BA4"/>
    <mergeCell ref="AX4:AY4"/>
    <mergeCell ref="AV4:AW4"/>
    <mergeCell ref="BF4:BG4"/>
    <mergeCell ref="BD4:BE4"/>
    <mergeCell ref="BB4:BC4"/>
    <mergeCell ref="R1:T1"/>
    <mergeCell ref="H1:J1"/>
    <mergeCell ref="F1:G1"/>
    <mergeCell ref="AN4:AO4"/>
    <mergeCell ref="AP4:AQ4"/>
    <mergeCell ref="V4:W4"/>
    <mergeCell ref="T4:U4"/>
    <mergeCell ref="L4:M4"/>
    <mergeCell ref="AL4:AM4"/>
    <mergeCell ref="AJ4:AK4"/>
    <mergeCell ref="AH4:AI4"/>
    <mergeCell ref="AF4:AG4"/>
    <mergeCell ref="AD4:AE4"/>
    <mergeCell ref="AB4:AC4"/>
    <mergeCell ref="Z4:AA4"/>
    <mergeCell ref="X4:Y4"/>
  </mergeCells>
  <pageMargins left="0.25" right="0.25" top="0.75" bottom="0.75" header="0.3" footer="0.3"/>
  <pageSetup paperSize="9" scale="65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Sheet2!$A$1:$A$12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45E1-183E-4532-9545-D4C2D1398347}">
  <dimension ref="C3:J31"/>
  <sheetViews>
    <sheetView tabSelected="1" workbookViewId="0">
      <selection activeCell="H9" sqref="H9"/>
    </sheetView>
  </sheetViews>
  <sheetFormatPr defaultRowHeight="14.4" x14ac:dyDescent="0.3"/>
  <cols>
    <col min="3" max="3" width="12.77734375" bestFit="1" customWidth="1"/>
    <col min="4" max="4" width="6.21875" bestFit="1" customWidth="1"/>
    <col min="5" max="5" width="12.77734375" bestFit="1" customWidth="1"/>
    <col min="6" max="6" width="13.88671875" bestFit="1" customWidth="1"/>
    <col min="9" max="9" width="12.77734375" bestFit="1" customWidth="1"/>
    <col min="10" max="10" width="10.44140625" customWidth="1"/>
    <col min="11" max="11" width="12.77734375" bestFit="1" customWidth="1"/>
    <col min="12" max="12" width="18.33203125" bestFit="1" customWidth="1"/>
  </cols>
  <sheetData>
    <row r="3" spans="3:10" x14ac:dyDescent="0.3">
      <c r="C3" t="s">
        <v>26</v>
      </c>
      <c r="D3" t="s">
        <v>27</v>
      </c>
    </row>
    <row r="4" spans="3:10" x14ac:dyDescent="0.3">
      <c r="C4" s="39" t="s">
        <v>29</v>
      </c>
      <c r="D4">
        <v>15</v>
      </c>
    </row>
    <row r="5" spans="3:10" x14ac:dyDescent="0.3">
      <c r="C5" s="39" t="s">
        <v>30</v>
      </c>
      <c r="D5">
        <v>15</v>
      </c>
    </row>
    <row r="6" spans="3:10" x14ac:dyDescent="0.3">
      <c r="C6" s="39" t="s">
        <v>30</v>
      </c>
      <c r="D6">
        <v>15</v>
      </c>
    </row>
    <row r="7" spans="3:10" x14ac:dyDescent="0.3">
      <c r="C7" s="39" t="s">
        <v>31</v>
      </c>
      <c r="D7">
        <v>5</v>
      </c>
    </row>
    <row r="8" spans="3:10" x14ac:dyDescent="0.3">
      <c r="C8" s="39" t="s">
        <v>32</v>
      </c>
      <c r="D8">
        <v>25</v>
      </c>
    </row>
    <row r="9" spans="3:10" x14ac:dyDescent="0.3">
      <c r="C9" s="39" t="s">
        <v>33</v>
      </c>
      <c r="D9">
        <v>13</v>
      </c>
      <c r="I9" s="40" t="s">
        <v>108</v>
      </c>
      <c r="J9" t="s">
        <v>109</v>
      </c>
    </row>
    <row r="10" spans="3:10" x14ac:dyDescent="0.3">
      <c r="C10" s="39" t="s">
        <v>30</v>
      </c>
      <c r="D10">
        <v>17</v>
      </c>
      <c r="I10" s="41" t="s">
        <v>39</v>
      </c>
      <c r="J10" s="39">
        <v>2</v>
      </c>
    </row>
    <row r="11" spans="3:10" x14ac:dyDescent="0.3">
      <c r="C11" s="39" t="s">
        <v>36</v>
      </c>
      <c r="D11">
        <v>10</v>
      </c>
      <c r="I11" s="41" t="s">
        <v>40</v>
      </c>
      <c r="J11" s="39">
        <v>1</v>
      </c>
    </row>
    <row r="12" spans="3:10" x14ac:dyDescent="0.3">
      <c r="C12" s="39" t="s">
        <v>36</v>
      </c>
      <c r="D12">
        <v>9</v>
      </c>
      <c r="I12" s="41" t="s">
        <v>43</v>
      </c>
      <c r="J12" s="39">
        <v>12</v>
      </c>
    </row>
    <row r="13" spans="3:10" x14ac:dyDescent="0.3">
      <c r="C13" s="39" t="s">
        <v>36</v>
      </c>
      <c r="D13">
        <v>10</v>
      </c>
      <c r="I13" s="41" t="s">
        <v>30</v>
      </c>
      <c r="J13" s="39">
        <v>55</v>
      </c>
    </row>
    <row r="14" spans="3:10" x14ac:dyDescent="0.3">
      <c r="C14" s="39" t="s">
        <v>36</v>
      </c>
      <c r="D14">
        <v>9</v>
      </c>
      <c r="I14" s="41" t="s">
        <v>32</v>
      </c>
      <c r="J14" s="39">
        <v>25</v>
      </c>
    </row>
    <row r="15" spans="3:10" x14ac:dyDescent="0.3">
      <c r="C15" s="39" t="s">
        <v>38</v>
      </c>
      <c r="D15">
        <v>19</v>
      </c>
      <c r="I15" s="41" t="s">
        <v>34</v>
      </c>
      <c r="J15" s="39">
        <v>20</v>
      </c>
    </row>
    <row r="16" spans="3:10" x14ac:dyDescent="0.3">
      <c r="C16" s="39" t="s">
        <v>38</v>
      </c>
      <c r="D16">
        <v>5</v>
      </c>
      <c r="I16" s="41" t="s">
        <v>33</v>
      </c>
      <c r="J16" s="39">
        <v>13</v>
      </c>
    </row>
    <row r="17" spans="3:10" x14ac:dyDescent="0.3">
      <c r="C17" s="39" t="s">
        <v>36</v>
      </c>
      <c r="D17">
        <v>13</v>
      </c>
      <c r="I17" s="41" t="s">
        <v>41</v>
      </c>
      <c r="J17" s="39">
        <v>28</v>
      </c>
    </row>
    <row r="18" spans="3:10" x14ac:dyDescent="0.3">
      <c r="C18" s="39" t="s">
        <v>41</v>
      </c>
      <c r="D18">
        <v>9</v>
      </c>
      <c r="I18" s="41" t="s">
        <v>31</v>
      </c>
      <c r="J18" s="39">
        <v>18</v>
      </c>
    </row>
    <row r="19" spans="3:10" x14ac:dyDescent="0.3">
      <c r="C19" s="39" t="s">
        <v>43</v>
      </c>
      <c r="D19">
        <v>12</v>
      </c>
      <c r="I19" s="41" t="s">
        <v>36</v>
      </c>
      <c r="J19" s="39">
        <v>52</v>
      </c>
    </row>
    <row r="20" spans="3:10" x14ac:dyDescent="0.3">
      <c r="C20" s="39" t="s">
        <v>107</v>
      </c>
      <c r="D20">
        <v>1</v>
      </c>
      <c r="I20" s="41" t="s">
        <v>107</v>
      </c>
      <c r="J20" s="39">
        <v>1</v>
      </c>
    </row>
    <row r="21" spans="3:10" x14ac:dyDescent="0.3">
      <c r="C21" s="39" t="s">
        <v>30</v>
      </c>
      <c r="D21">
        <v>3</v>
      </c>
      <c r="I21" s="41" t="s">
        <v>42</v>
      </c>
      <c r="J21" s="39">
        <v>8</v>
      </c>
    </row>
    <row r="22" spans="3:10" x14ac:dyDescent="0.3">
      <c r="C22" s="39" t="s">
        <v>34</v>
      </c>
      <c r="D22">
        <v>20</v>
      </c>
      <c r="I22" s="41" t="s">
        <v>44</v>
      </c>
      <c r="J22" s="39">
        <v>11</v>
      </c>
    </row>
    <row r="23" spans="3:10" x14ac:dyDescent="0.3">
      <c r="C23" s="39" t="s">
        <v>31</v>
      </c>
      <c r="D23">
        <v>13</v>
      </c>
      <c r="I23" s="41" t="s">
        <v>38</v>
      </c>
      <c r="J23" s="39">
        <v>24</v>
      </c>
    </row>
    <row r="24" spans="3:10" x14ac:dyDescent="0.3">
      <c r="C24" s="39" t="s">
        <v>36</v>
      </c>
      <c r="D24">
        <v>1</v>
      </c>
      <c r="I24" s="41" t="s">
        <v>29</v>
      </c>
      <c r="J24" s="39">
        <v>15</v>
      </c>
    </row>
    <row r="25" spans="3:10" x14ac:dyDescent="0.3">
      <c r="C25" s="39" t="s">
        <v>39</v>
      </c>
      <c r="D25">
        <v>2</v>
      </c>
      <c r="I25" s="41" t="s">
        <v>8</v>
      </c>
      <c r="J25" s="39">
        <v>285</v>
      </c>
    </row>
    <row r="26" spans="3:10" x14ac:dyDescent="0.3">
      <c r="C26" s="39" t="s">
        <v>41</v>
      </c>
      <c r="D26">
        <v>12</v>
      </c>
    </row>
    <row r="27" spans="3:10" x14ac:dyDescent="0.3">
      <c r="C27" s="39" t="s">
        <v>44</v>
      </c>
      <c r="D27">
        <v>11</v>
      </c>
    </row>
    <row r="28" spans="3:10" x14ac:dyDescent="0.3">
      <c r="C28" s="39" t="s">
        <v>42</v>
      </c>
      <c r="D28">
        <v>8</v>
      </c>
    </row>
    <row r="29" spans="3:10" x14ac:dyDescent="0.3">
      <c r="C29" s="39" t="s">
        <v>30</v>
      </c>
      <c r="D29">
        <v>5</v>
      </c>
    </row>
    <row r="30" spans="3:10" x14ac:dyDescent="0.3">
      <c r="C30" s="39" t="s">
        <v>40</v>
      </c>
      <c r="D30">
        <v>1</v>
      </c>
    </row>
    <row r="31" spans="3:10" x14ac:dyDescent="0.3">
      <c r="C31" s="39" t="s">
        <v>41</v>
      </c>
      <c r="D31">
        <v>7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sqref="A1:A12"/>
    </sheetView>
  </sheetViews>
  <sheetFormatPr defaultRowHeight="14.4" x14ac:dyDescent="0.3"/>
  <sheetData>
    <row r="3" spans="1:3" x14ac:dyDescent="0.3">
      <c r="A3" s="30" t="s">
        <v>25</v>
      </c>
      <c r="B3" s="29" t="s">
        <v>0</v>
      </c>
      <c r="C3" s="29" t="s">
        <v>1</v>
      </c>
    </row>
    <row r="4" spans="1:3" x14ac:dyDescent="0.3">
      <c r="A4" s="30"/>
      <c r="B4" s="29"/>
      <c r="C4" s="29"/>
    </row>
    <row r="5" spans="1:3" x14ac:dyDescent="0.3">
      <c r="B5" s="2" t="s">
        <v>2</v>
      </c>
      <c r="C5" s="2" t="s">
        <v>3</v>
      </c>
    </row>
    <row r="6" spans="1:3" x14ac:dyDescent="0.3">
      <c r="B6" s="2" t="s">
        <v>4</v>
      </c>
      <c r="C6" s="2" t="s">
        <v>5</v>
      </c>
    </row>
    <row r="7" spans="1:3" x14ac:dyDescent="0.3">
      <c r="B7" s="2" t="s">
        <v>6</v>
      </c>
      <c r="C7" s="2" t="s">
        <v>7</v>
      </c>
    </row>
  </sheetData>
  <mergeCells count="3">
    <mergeCell ref="B3:B4"/>
    <mergeCell ref="C3:C4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>
      <selection sqref="A1:A12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B4B61-BFFE-449B-B5B8-9431023C5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RESULT</vt:lpstr>
      <vt:lpstr>donot delete</vt:lpstr>
      <vt:lpstr>Sheet2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2025-10-02T13:53:08Z</dcterms:modified>
</cp:coreProperties>
</file>